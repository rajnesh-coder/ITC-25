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URU\Documents\"/>
    </mc:Choice>
  </mc:AlternateContent>
  <xr:revisionPtr revIDLastSave="0" documentId="13_ncr:1_{54FE595B-2C3F-4252-B4FB-7B4C903468DA}" xr6:coauthVersionLast="47" xr6:coauthVersionMax="47" xr10:uidLastSave="{00000000-0000-0000-0000-000000000000}"/>
  <bookViews>
    <workbookView xWindow="2873" yWindow="3160" windowWidth="19200" windowHeight="10520" xr2:uid="{40891A8C-02A9-459B-993E-5A4811EDEBC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" i="1" l="1"/>
  <c r="X13" i="1"/>
  <c r="X10" i="1"/>
  <c r="X4" i="1" a="1"/>
  <c r="X4" i="1" s="1"/>
  <c r="T28" i="1" l="1"/>
  <c r="X21" i="1" s="1"/>
  <c r="T26" i="1"/>
  <c r="X20" i="1" s="1"/>
  <c r="T23" i="1"/>
  <c r="T22" i="1"/>
  <c r="T21" i="1"/>
  <c r="T20" i="1"/>
  <c r="T19" i="1"/>
  <c r="X19" i="1" s="1"/>
  <c r="T17" i="1"/>
  <c r="T16" i="1"/>
  <c r="T14" i="1"/>
  <c r="T13" i="1"/>
  <c r="T12" i="1"/>
  <c r="X18" i="1" s="1"/>
  <c r="T11" i="1"/>
  <c r="T10" i="1"/>
  <c r="T9" i="1"/>
  <c r="T7" i="1"/>
  <c r="T6" i="1"/>
  <c r="T8" i="1"/>
  <c r="T15" i="1"/>
  <c r="T18" i="1"/>
  <c r="T24" i="1"/>
  <c r="T25" i="1"/>
  <c r="T27" i="1"/>
  <c r="T29" i="1"/>
  <c r="T5" i="1"/>
  <c r="T4" i="1"/>
  <c r="T3" i="1"/>
  <c r="X11" i="1"/>
  <c r="X6" i="1" l="1"/>
  <c r="X2" i="1"/>
  <c r="X16" i="1"/>
  <c r="X8" i="1"/>
  <c r="L22" i="1" l="1"/>
  <c r="L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<sst xmlns="http://schemas.openxmlformats.org/spreadsheetml/2006/main" count="171" uniqueCount="54">
  <si>
    <t>∞</t>
  </si>
  <si>
    <t>❸</t>
  </si>
  <si>
    <t>②</t>
  </si>
  <si>
    <t>③</t>
  </si>
  <si>
    <t>❷</t>
  </si>
  <si>
    <t>Stage</t>
  </si>
  <si>
    <t xml:space="preserve">Leverage </t>
  </si>
  <si>
    <t>Luck</t>
  </si>
  <si>
    <t>PLAYER ONE</t>
  </si>
  <si>
    <t>PLAYER TWO</t>
  </si>
  <si>
    <t>Tiles on the Board</t>
  </si>
  <si>
    <t>Tiles with the Players</t>
  </si>
  <si>
    <t>Tiles in the Bag</t>
  </si>
  <si>
    <t>TW</t>
  </si>
  <si>
    <t>DW</t>
  </si>
  <si>
    <t>J(08)</t>
  </si>
  <si>
    <t>Q(10)</t>
  </si>
  <si>
    <t>X(08)</t>
  </si>
  <si>
    <t>Z(10)</t>
  </si>
  <si>
    <t>_</t>
  </si>
  <si>
    <t>A</t>
  </si>
  <si>
    <t>EVAL</t>
  </si>
  <si>
    <t>SCORE</t>
  </si>
  <si>
    <t>Tile Bag</t>
  </si>
  <si>
    <t>Value</t>
  </si>
  <si>
    <t>Tile Deck</t>
  </si>
  <si>
    <t>Quantity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</si>
  <si>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</si>
  <si>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</si>
  <si>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</si>
  <si>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</si>
  <si>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</si>
  <si>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</si>
  <si>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</si>
  <si>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</si>
  <si>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</si>
  <si>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</si>
  <si>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</si>
  <si>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</si>
  <si>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</si>
  <si>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</si>
  <si>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</si>
  <si>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</si>
  <si>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</si>
  <si>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</si>
  <si>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</si>
  <si>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</si>
  <si>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</si>
  <si>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</si>
  <si>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</si>
  <si>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</si>
  <si>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</si>
  <si>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Score Differencial(player1-player2)</t>
  </si>
  <si>
    <t>Score Differencial(player2-player1)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</si>
</sst>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3F3F3F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9" fontId="1" fillId="0" borderId="0" applyFont="0" applyFill="0" applyBorder="0" applyAlignment="0" applyProtection="0"/>
    <xf numFmtId="0" fontId="3" fillId="3" borderId="2" applyNumberFormat="0" applyAlignment="0" applyProtection="0"/>
  </cellStyleXfs>
  <cellXfs count="11">
    <xf numFmtId="0" fontId="0" fillId="0" borderId="0" xfId="0"/>
    <xf numFmtId="0" fontId="3" fillId="3" borderId="2" xfId="3"/>
    <xf numFmtId="0" fontId="3" fillId="3" borderId="2" xfId="3" applyAlignment="1">
      <alignment horizont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0" fontId="2" fillId="4" borderId="1" xfId="1" applyFont="1" applyFill="1" applyAlignment="1">
      <alignment horizontal="center" vertical="center"/>
    </xf>
    <xf numFmtId="0" fontId="2" fillId="2" borderId="1" xfId="1" applyFont="1" applyAlignment="1">
      <alignment horizontal="center" vertical="center"/>
    </xf>
    <xf numFmtId="0" fontId="2" fillId="7" borderId="1" xfId="1" applyFont="1" applyFill="1" applyAlignment="1">
      <alignment horizontal="center" vertical="center"/>
    </xf>
    <xf numFmtId="0" fontId="2" fillId="5" borderId="1" xfId="1" applyFont="1" applyFill="1" applyAlignment="1">
      <alignment horizontal="center" vertical="center"/>
    </xf>
    <xf numFmtId="0" fontId="2" fillId="6" borderId="1" xfId="1" applyFont="1" applyFill="1" applyAlignment="1">
      <alignment horizontal="center" vertical="center"/>
    </xf>
    <xf numFmtId="0" fontId="3" fillId="3" borderId="2" xfId="3" applyAlignment="1">
      <alignment horizontal="center"/>
    </xf>
  </cellXfs>
  <cellStyles count="4">
    <cellStyle name="Normal" xfId="0" builtinId="0"/>
    <cellStyle name="Note" xfId="1" builtinId="10"/>
    <cellStyle name="Output" xfId="3" builtinId="2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6A222-1943-4444-B91A-2A6276F1DBEE}">
  <sheetPr codeName="Sheet1"/>
  <dimension ref="B2:BN29"/>
  <sheetViews>
    <sheetView tabSelected="1" zoomScale="96" zoomScaleNormal="100" workbookViewId="0">
      <selection activeCell="W27" sqref="W27"/>
    </sheetView>
  </sheetViews>
  <sheetFormatPr defaultRowHeight="14.35" x14ac:dyDescent="0.5"/>
  <cols>
    <col min="2" max="16" width="2.29296875" bestFit="1" customWidth="1"/>
    <col min="17" max="17" width="7.52734375" customWidth="1"/>
    <col min="18" max="18" width="7.76171875" bestFit="1" customWidth="1"/>
    <col min="19" max="19" width="6.703125" bestFit="1" customWidth="1"/>
    <col min="20" max="20" width="7.41015625" bestFit="1" customWidth="1"/>
    <col min="21" max="21" width="5.17578125" bestFit="1" customWidth="1"/>
    <col min="22" max="22" width="15.29296875" customWidth="1"/>
    <col min="23" max="23" width="28.05859375" bestFit="1" customWidth="1"/>
    <col min="24" max="24" width="5.234375" bestFit="1" customWidth="1"/>
    <col min="25" max="25" width="7.8203125" bestFit="1" customWidth="1"/>
    <col min="26" max="26" width="12.46875" bestFit="1" customWidth="1"/>
    <col min="27" max="27" width="5.703125" bestFit="1" customWidth="1"/>
    <col min="28" max="28" width="7.1171875" bestFit="1" customWidth="1"/>
    <col min="29" max="29" width="4.3515625" bestFit="1" customWidth="1"/>
    <col min="31" max="31" width="12.46875" bestFit="1" customWidth="1"/>
    <col min="32" max="33" width="11.17578125" bestFit="1" customWidth="1"/>
    <col min="36" max="36" width="8.9375" customWidth="1"/>
    <col min="38" max="38" width="8.9375" customWidth="1"/>
    <col min="52" max="67" width="2.29296875" bestFit="1" customWidth="1"/>
  </cols>
  <sheetData>
    <row r="2" spans="2:66" x14ac:dyDescent="0.5">
      <c r="B2" s="5" t="s">
        <v>1</v>
      </c>
      <c r="C2" s="6"/>
      <c r="D2" s="6"/>
      <c r="E2" s="7" t="s">
        <v>2</v>
      </c>
      <c r="F2" s="6"/>
      <c r="G2" s="6"/>
      <c r="H2" s="6"/>
      <c r="I2" s="5" t="s">
        <v>1</v>
      </c>
      <c r="J2" s="6"/>
      <c r="K2" s="6"/>
      <c r="L2" s="6"/>
      <c r="M2" s="7" t="s">
        <v>2</v>
      </c>
      <c r="N2" s="6"/>
      <c r="O2" s="6"/>
      <c r="P2" s="5" t="s">
        <v>1</v>
      </c>
      <c r="R2" t="s">
        <v>25</v>
      </c>
      <c r="S2" t="s">
        <v>23</v>
      </c>
      <c r="T2" t="s">
        <v>26</v>
      </c>
      <c r="U2" t="s">
        <v>24</v>
      </c>
      <c r="W2" t="s">
        <v>5</v>
      </c>
      <c r="X2">
        <f>X6-X5-X4</f>
        <v>72</v>
      </c>
      <c r="AZ2" s="5" t="s">
        <v>1</v>
      </c>
      <c r="BA2" s="6"/>
      <c r="BB2" s="6"/>
      <c r="BC2" s="7" t="s">
        <v>2</v>
      </c>
      <c r="BD2" s="6"/>
      <c r="BE2" s="6"/>
      <c r="BF2" s="6"/>
      <c r="BG2" s="5" t="s">
        <v>1</v>
      </c>
      <c r="BH2" s="6"/>
      <c r="BI2" s="6"/>
      <c r="BJ2" s="6"/>
      <c r="BK2" s="7" t="s">
        <v>2</v>
      </c>
      <c r="BL2" s="6"/>
      <c r="BM2" s="6"/>
      <c r="BN2" s="5" t="s">
        <v>1</v>
      </c>
    </row>
    <row r="3" spans="2:66" x14ac:dyDescent="0.5">
      <c r="B3" s="6"/>
      <c r="C3" s="8" t="s">
        <v>4</v>
      </c>
      <c r="D3" s="6"/>
      <c r="E3" s="6"/>
      <c r="F3" s="6"/>
      <c r="G3" s="9" t="s">
        <v>3</v>
      </c>
      <c r="H3" s="6"/>
      <c r="I3" s="6"/>
      <c r="J3" s="6"/>
      <c r="K3" s="9" t="s">
        <v>3</v>
      </c>
      <c r="L3" s="6"/>
      <c r="M3" s="6"/>
      <c r="N3" s="6"/>
      <c r="O3" s="8" t="s">
        <v>4</v>
      </c>
      <c r="P3" s="6"/>
      <c r="S3" s="3" t="s">
        <v>20</v>
      </c>
      <c r="T3" s="3">
        <f>9-COUNTIF($B$2:$P$16,S3)</f>
        <v>9</v>
      </c>
      <c r="U3" s="3">
        <v>1</v>
      </c>
      <c r="AZ3" s="6"/>
      <c r="BA3" s="8" t="s">
        <v>4</v>
      </c>
      <c r="BB3" s="6"/>
      <c r="BC3" s="6"/>
      <c r="BD3" s="6"/>
      <c r="BE3" s="9" t="s">
        <v>3</v>
      </c>
      <c r="BF3" s="6"/>
      <c r="BG3" s="6"/>
      <c r="BH3" s="6"/>
      <c r="BI3" s="9" t="s">
        <v>3</v>
      </c>
      <c r="BJ3" s="6"/>
      <c r="BK3" s="6"/>
      <c r="BL3" s="6"/>
      <c r="BM3" s="8" t="s">
        <v>4</v>
      </c>
      <c r="BN3" s="6"/>
    </row>
    <row r="4" spans="2:66" x14ac:dyDescent="0.5">
      <c r="B4" s="6"/>
      <c r="C4" s="6"/>
      <c r="D4" s="8" t="s">
        <v>4</v>
      </c>
      <c r="E4" s="6"/>
      <c r="F4" s="6"/>
      <c r="G4" s="6"/>
      <c r="H4" s="7" t="s">
        <v>2</v>
      </c>
      <c r="I4" s="6"/>
      <c r="J4" s="7" t="s">
        <v>2</v>
      </c>
      <c r="K4" s="6"/>
      <c r="L4" s="6"/>
      <c r="M4" s="6"/>
      <c r="N4" s="8" t="s">
        <v>4</v>
      </c>
      <c r="O4" s="6"/>
      <c r="P4" s="6"/>
      <c r="S4" s="3" t="s">
        <v>27</v>
      </c>
      <c r="T4" s="3">
        <f>2-COUNTIF($B$2:$P$16,S4)</f>
        <v>2</v>
      </c>
      <c r="U4" s="3">
        <v>3</v>
      </c>
      <c r="W4" t="s">
        <v>10</v>
      </c>
      <c r="X4" cm="1">
        <f t="array" ref="X4">SUMPRODUCT(
  --(ISTEXT(B2:P16)),
  --(LEN(B2:P16)=1),
  --((B2:P16&gt;="A")*(B2:P16&lt;="Z") + (B2:P16="_") + (B2:P16="?"))
)</f>
        <v>0</v>
      </c>
      <c r="AZ4" s="6"/>
      <c r="BA4" s="6"/>
      <c r="BB4" s="8" t="s">
        <v>4</v>
      </c>
      <c r="BC4" s="6"/>
      <c r="BD4" s="6"/>
      <c r="BE4" s="6"/>
      <c r="BF4" s="7" t="s">
        <v>2</v>
      </c>
      <c r="BG4" s="6"/>
      <c r="BH4" s="7" t="s">
        <v>2</v>
      </c>
      <c r="BI4" s="6"/>
      <c r="BJ4" s="6"/>
      <c r="BK4" s="6"/>
      <c r="BL4" s="8" t="s">
        <v>4</v>
      </c>
      <c r="BM4" s="6"/>
      <c r="BN4" s="6"/>
    </row>
    <row r="5" spans="2:66" x14ac:dyDescent="0.5">
      <c r="B5" s="7" t="s">
        <v>2</v>
      </c>
      <c r="C5" s="6"/>
      <c r="D5" s="6"/>
      <c r="E5" s="8" t="s">
        <v>4</v>
      </c>
      <c r="F5" s="6"/>
      <c r="G5" s="6"/>
      <c r="H5" s="6"/>
      <c r="I5" s="7" t="s">
        <v>2</v>
      </c>
      <c r="J5" s="6"/>
      <c r="K5" s="6"/>
      <c r="L5" s="6"/>
      <c r="M5" s="8" t="s">
        <v>4</v>
      </c>
      <c r="N5" s="6"/>
      <c r="O5" s="6"/>
      <c r="P5" s="7" t="s">
        <v>2</v>
      </c>
      <c r="S5" s="3" t="s">
        <v>28</v>
      </c>
      <c r="T5" s="3">
        <f>2-COUNTIF($B$2:$P$16,S5)</f>
        <v>2</v>
      </c>
      <c r="U5" s="3">
        <v>3</v>
      </c>
      <c r="W5" t="s">
        <v>11</v>
      </c>
      <c r="X5">
        <v>14</v>
      </c>
      <c r="AZ5" s="7" t="s">
        <v>2</v>
      </c>
      <c r="BA5" s="6"/>
      <c r="BB5" s="6"/>
      <c r="BC5" s="8" t="s">
        <v>4</v>
      </c>
      <c r="BD5" s="6"/>
      <c r="BE5" s="6"/>
      <c r="BF5" s="6"/>
      <c r="BG5" s="7" t="s">
        <v>2</v>
      </c>
      <c r="BH5" s="6"/>
      <c r="BI5" s="6"/>
      <c r="BJ5" s="6"/>
      <c r="BK5" s="8" t="s">
        <v>4</v>
      </c>
      <c r="BL5" s="6"/>
      <c r="BM5" s="6"/>
      <c r="BN5" s="7" t="s">
        <v>2</v>
      </c>
    </row>
    <row r="6" spans="2:66" x14ac:dyDescent="0.5">
      <c r="B6" s="6"/>
      <c r="C6" s="6"/>
      <c r="D6" s="6"/>
      <c r="E6" s="6"/>
      <c r="F6" s="8" t="s">
        <v>4</v>
      </c>
      <c r="G6" s="6"/>
      <c r="H6" s="6"/>
      <c r="I6" s="6"/>
      <c r="J6" s="6"/>
      <c r="K6" s="6"/>
      <c r="L6" s="8" t="s">
        <v>4</v>
      </c>
      <c r="M6" s="6"/>
      <c r="N6" s="6"/>
      <c r="O6" s="6"/>
      <c r="P6" s="6"/>
      <c r="S6" s="3" t="s">
        <v>29</v>
      </c>
      <c r="T6" s="3">
        <f>4-COUNTIF($B$2:$P$16,S6)</f>
        <v>4</v>
      </c>
      <c r="U6" s="3">
        <v>2</v>
      </c>
      <c r="W6" t="s">
        <v>12</v>
      </c>
      <c r="X6">
        <f>SUM(T3:T29)-X5</f>
        <v>86</v>
      </c>
      <c r="AZ6" s="6"/>
      <c r="BA6" s="6"/>
      <c r="BB6" s="6"/>
      <c r="BC6" s="6"/>
      <c r="BD6" s="8" t="s">
        <v>4</v>
      </c>
      <c r="BE6" s="6"/>
      <c r="BF6" s="6"/>
      <c r="BG6" s="6"/>
      <c r="BH6" s="6"/>
      <c r="BI6" s="6"/>
      <c r="BJ6" s="8" t="s">
        <v>4</v>
      </c>
      <c r="BK6" s="6"/>
      <c r="BL6" s="6"/>
      <c r="BM6" s="6"/>
      <c r="BN6" s="6"/>
    </row>
    <row r="7" spans="2:66" x14ac:dyDescent="0.5">
      <c r="B7" s="6"/>
      <c r="C7" s="9" t="s">
        <v>3</v>
      </c>
      <c r="D7" s="6"/>
      <c r="E7" s="6"/>
      <c r="F7" s="6"/>
      <c r="G7" s="9" t="s">
        <v>3</v>
      </c>
      <c r="H7" s="6"/>
      <c r="I7" s="6"/>
      <c r="J7" s="6"/>
      <c r="K7" s="9" t="s">
        <v>3</v>
      </c>
      <c r="L7" s="6"/>
      <c r="M7" s="6"/>
      <c r="N7" s="6"/>
      <c r="O7" s="9" t="s">
        <v>3</v>
      </c>
      <c r="P7" s="6"/>
      <c r="S7" s="3" t="s">
        <v>30</v>
      </c>
      <c r="T7" s="3">
        <f>12-COUNTIF($B$2:$P$16,S7)</f>
        <v>12</v>
      </c>
      <c r="U7" s="3">
        <v>1</v>
      </c>
      <c r="AZ7" s="6"/>
      <c r="BA7" s="9" t="s">
        <v>3</v>
      </c>
      <c r="BB7" s="6"/>
      <c r="BC7" s="6"/>
      <c r="BD7" s="6"/>
      <c r="BE7" s="9" t="s">
        <v>3</v>
      </c>
      <c r="BF7" s="6"/>
      <c r="BG7" s="6"/>
      <c r="BH7" s="6"/>
      <c r="BI7" s="9" t="s">
        <v>3</v>
      </c>
      <c r="BJ7" s="6"/>
      <c r="BK7" s="6"/>
      <c r="BL7" s="6"/>
      <c r="BM7" s="9" t="s">
        <v>3</v>
      </c>
      <c r="BN7" s="6"/>
    </row>
    <row r="8" spans="2:66" x14ac:dyDescent="0.5">
      <c r="B8" s="6"/>
      <c r="C8" s="6"/>
      <c r="D8" s="7" t="s">
        <v>2</v>
      </c>
      <c r="E8" s="6"/>
      <c r="F8" s="6"/>
      <c r="G8" s="6"/>
      <c r="H8" s="7" t="s">
        <v>2</v>
      </c>
      <c r="I8" s="6"/>
      <c r="J8" s="7" t="s">
        <v>2</v>
      </c>
      <c r="K8" s="6"/>
      <c r="L8" s="6"/>
      <c r="M8" s="6"/>
      <c r="N8" s="7" t="s">
        <v>2</v>
      </c>
      <c r="O8" s="6"/>
      <c r="P8" s="6"/>
      <c r="S8" s="3" t="s">
        <v>31</v>
      </c>
      <c r="T8" s="3">
        <f t="shared" ref="T8:T29" si="0">2-COUNTIF($B$2:$P$16,S8)</f>
        <v>2</v>
      </c>
      <c r="U8" s="3">
        <v>4</v>
      </c>
      <c r="W8" t="s">
        <v>6</v>
      </c>
      <c r="X8" s="4">
        <f>SUM(X10:X11)/24</f>
        <v>1</v>
      </c>
      <c r="AZ8" s="6"/>
      <c r="BA8" s="6"/>
      <c r="BB8" s="7" t="s">
        <v>2</v>
      </c>
      <c r="BC8" s="6"/>
      <c r="BD8" s="6"/>
      <c r="BE8" s="6"/>
      <c r="BF8" s="7" t="s">
        <v>2</v>
      </c>
      <c r="BG8" s="6"/>
      <c r="BH8" s="7" t="s">
        <v>2</v>
      </c>
      <c r="BI8" s="6"/>
      <c r="BJ8" s="6"/>
      <c r="BK8" s="6"/>
      <c r="BL8" s="7" t="s">
        <v>2</v>
      </c>
      <c r="BM8" s="6"/>
      <c r="BN8" s="6"/>
    </row>
    <row r="9" spans="2:66" x14ac:dyDescent="0.5">
      <c r="B9" s="5" t="s">
        <v>1</v>
      </c>
      <c r="C9" s="6"/>
      <c r="D9" s="6"/>
      <c r="E9" s="7" t="s">
        <v>2</v>
      </c>
      <c r="F9" s="6"/>
      <c r="G9" s="6"/>
      <c r="H9" s="6"/>
      <c r="I9" s="6" t="s">
        <v>0</v>
      </c>
      <c r="J9" s="6"/>
      <c r="K9" s="6"/>
      <c r="L9" s="6"/>
      <c r="M9" s="7" t="s">
        <v>2</v>
      </c>
      <c r="N9" s="6"/>
      <c r="O9" s="6"/>
      <c r="P9" s="5" t="s">
        <v>1</v>
      </c>
      <c r="S9" s="3" t="s">
        <v>32</v>
      </c>
      <c r="T9" s="3">
        <f>3-COUNTIF($B$2:$P$16,S9)</f>
        <v>3</v>
      </c>
      <c r="U9" s="3">
        <v>2</v>
      </c>
      <c r="AZ9" s="5" t="s">
        <v>1</v>
      </c>
      <c r="BA9" s="6"/>
      <c r="BB9" s="6"/>
      <c r="BC9" s="7" t="s">
        <v>2</v>
      </c>
      <c r="BD9" s="6"/>
      <c r="BE9" s="6"/>
      <c r="BF9" s="6"/>
      <c r="BG9" s="6" t="s">
        <v>0</v>
      </c>
      <c r="BH9" s="6"/>
      <c r="BI9" s="6"/>
      <c r="BJ9" s="6"/>
      <c r="BK9" s="7" t="s">
        <v>2</v>
      </c>
      <c r="BL9" s="6"/>
      <c r="BM9" s="6"/>
      <c r="BN9" s="5" t="s">
        <v>1</v>
      </c>
    </row>
    <row r="10" spans="2:66" x14ac:dyDescent="0.5">
      <c r="B10" s="6"/>
      <c r="C10" s="6"/>
      <c r="D10" s="7" t="s">
        <v>2</v>
      </c>
      <c r="E10" s="6"/>
      <c r="F10" s="6"/>
      <c r="G10" s="6"/>
      <c r="H10" s="7" t="s">
        <v>2</v>
      </c>
      <c r="I10" s="6"/>
      <c r="J10" s="7" t="s">
        <v>2</v>
      </c>
      <c r="K10" s="6"/>
      <c r="L10" s="6"/>
      <c r="M10" s="6"/>
      <c r="N10" s="7" t="s">
        <v>2</v>
      </c>
      <c r="O10" s="6"/>
      <c r="P10" s="6"/>
      <c r="S10" s="3" t="s">
        <v>33</v>
      </c>
      <c r="T10" s="3">
        <f>2-COUNTIF($B$2:$P$16,S10)</f>
        <v>2</v>
      </c>
      <c r="U10" s="3">
        <v>4</v>
      </c>
      <c r="W10" t="s">
        <v>14</v>
      </c>
      <c r="X10">
        <f>COUNTIF(B2:P16,"❷")</f>
        <v>16</v>
      </c>
      <c r="AZ10" s="6"/>
      <c r="BA10" s="6"/>
      <c r="BB10" s="7" t="s">
        <v>2</v>
      </c>
      <c r="BC10" s="6"/>
      <c r="BD10" s="6"/>
      <c r="BE10" s="6"/>
      <c r="BF10" s="7" t="s">
        <v>2</v>
      </c>
      <c r="BG10" s="6"/>
      <c r="BH10" s="7" t="s">
        <v>2</v>
      </c>
      <c r="BI10" s="6"/>
      <c r="BJ10" s="6"/>
      <c r="BK10" s="6"/>
      <c r="BL10" s="7" t="s">
        <v>2</v>
      </c>
      <c r="BM10" s="6"/>
      <c r="BN10" s="6"/>
    </row>
    <row r="11" spans="2:66" x14ac:dyDescent="0.5">
      <c r="B11" s="6"/>
      <c r="C11" s="9" t="s">
        <v>3</v>
      </c>
      <c r="D11" s="6"/>
      <c r="E11" s="6"/>
      <c r="F11" s="6"/>
      <c r="G11" s="9" t="s">
        <v>3</v>
      </c>
      <c r="H11" s="6"/>
      <c r="I11" s="6"/>
      <c r="J11" s="6"/>
      <c r="K11" s="9" t="s">
        <v>3</v>
      </c>
      <c r="L11" s="6"/>
      <c r="M11" s="6"/>
      <c r="N11" s="6"/>
      <c r="O11" s="9" t="s">
        <v>3</v>
      </c>
      <c r="P11" s="6"/>
      <c r="S11" s="3" t="s">
        <v>34</v>
      </c>
      <c r="T11" s="3">
        <f>9-COUNTIF($B$2:$P$16,S11)</f>
        <v>9</v>
      </c>
      <c r="U11" s="3">
        <v>1</v>
      </c>
      <c r="W11" t="s">
        <v>13</v>
      </c>
      <c r="X11">
        <f>COUNTIF(B2:P16,"❸")</f>
        <v>8</v>
      </c>
      <c r="AZ11" s="6"/>
      <c r="BA11" s="9" t="s">
        <v>3</v>
      </c>
      <c r="BB11" s="6"/>
      <c r="BC11" s="6"/>
      <c r="BD11" s="6"/>
      <c r="BE11" s="9" t="s">
        <v>3</v>
      </c>
      <c r="BF11" s="6"/>
      <c r="BG11" s="6"/>
      <c r="BH11" s="6"/>
      <c r="BI11" s="9" t="s">
        <v>3</v>
      </c>
      <c r="BJ11" s="6"/>
      <c r="BK11" s="6"/>
      <c r="BL11" s="6"/>
      <c r="BM11" s="9" t="s">
        <v>3</v>
      </c>
      <c r="BN11" s="6"/>
    </row>
    <row r="12" spans="2:66" x14ac:dyDescent="0.5">
      <c r="B12" s="6"/>
      <c r="C12" s="6"/>
      <c r="D12" s="6"/>
      <c r="E12" s="6"/>
      <c r="F12" s="8" t="s">
        <v>4</v>
      </c>
      <c r="G12" s="6"/>
      <c r="H12" s="6"/>
      <c r="I12" s="6"/>
      <c r="J12" s="6"/>
      <c r="K12" s="6"/>
      <c r="L12" s="8" t="s">
        <v>4</v>
      </c>
      <c r="M12" s="6"/>
      <c r="N12" s="6"/>
      <c r="O12" s="6"/>
      <c r="P12" s="6"/>
      <c r="S12" s="3" t="s">
        <v>35</v>
      </c>
      <c r="T12" s="3">
        <f>1-COUNTIF($B$2:$P$16,S12)</f>
        <v>1</v>
      </c>
      <c r="U12" s="3">
        <v>8</v>
      </c>
      <c r="AZ12" s="6"/>
      <c r="BA12" s="6"/>
      <c r="BB12" s="6"/>
      <c r="BC12" s="6"/>
      <c r="BD12" s="8" t="s">
        <v>4</v>
      </c>
      <c r="BE12" s="6"/>
      <c r="BF12" s="6"/>
      <c r="BG12" s="6"/>
      <c r="BH12" s="6"/>
      <c r="BI12" s="6"/>
      <c r="BJ12" s="8" t="s">
        <v>4</v>
      </c>
      <c r="BK12" s="6"/>
      <c r="BL12" s="6"/>
      <c r="BM12" s="6"/>
      <c r="BN12" s="6"/>
    </row>
    <row r="13" spans="2:66" x14ac:dyDescent="0.5">
      <c r="B13" s="7" t="s">
        <v>2</v>
      </c>
      <c r="C13" s="6"/>
      <c r="D13" s="6"/>
      <c r="E13" s="8" t="s">
        <v>4</v>
      </c>
      <c r="F13" s="6"/>
      <c r="G13" s="6"/>
      <c r="H13" s="6"/>
      <c r="I13" s="7" t="s">
        <v>2</v>
      </c>
      <c r="J13" s="6"/>
      <c r="K13" s="6"/>
      <c r="L13" s="6"/>
      <c r="M13" s="8" t="s">
        <v>4</v>
      </c>
      <c r="N13" s="6"/>
      <c r="O13" s="6"/>
      <c r="P13" s="7" t="s">
        <v>2</v>
      </c>
      <c r="S13" s="3" t="s">
        <v>36</v>
      </c>
      <c r="T13" s="3">
        <f>1-COUNTIF($B$2:$P$16,S13)</f>
        <v>1</v>
      </c>
      <c r="U13" s="3">
        <v>5</v>
      </c>
      <c r="W13" t="s">
        <v>52</v>
      </c>
      <c r="X13">
        <f>H20-H22</f>
        <v>0</v>
      </c>
      <c r="AZ13" s="7" t="s">
        <v>2</v>
      </c>
      <c r="BA13" s="6"/>
      <c r="BB13" s="6"/>
      <c r="BC13" s="8" t="s">
        <v>4</v>
      </c>
      <c r="BD13" s="6"/>
      <c r="BE13" s="6"/>
      <c r="BF13" s="6"/>
      <c r="BG13" s="7" t="s">
        <v>2</v>
      </c>
      <c r="BH13" s="6"/>
      <c r="BI13" s="6"/>
      <c r="BJ13" s="6"/>
      <c r="BK13" s="8" t="s">
        <v>4</v>
      </c>
      <c r="BL13" s="6"/>
      <c r="BM13" s="6"/>
      <c r="BN13" s="7" t="s">
        <v>2</v>
      </c>
    </row>
    <row r="14" spans="2:66" x14ac:dyDescent="0.5">
      <c r="B14" s="6"/>
      <c r="C14" s="6"/>
      <c r="D14" s="8" t="s">
        <v>4</v>
      </c>
      <c r="E14" s="6"/>
      <c r="F14" s="6"/>
      <c r="G14" s="6"/>
      <c r="H14" s="7" t="s">
        <v>2</v>
      </c>
      <c r="I14" s="6"/>
      <c r="J14" s="7" t="s">
        <v>2</v>
      </c>
      <c r="K14" s="6"/>
      <c r="L14" s="6"/>
      <c r="M14" s="6"/>
      <c r="N14" s="8" t="s">
        <v>4</v>
      </c>
      <c r="O14" s="6"/>
      <c r="P14" s="6"/>
      <c r="S14" s="3" t="s">
        <v>37</v>
      </c>
      <c r="T14" s="3">
        <f>4-COUNTIF($B$2:$P$16,S14)</f>
        <v>4</v>
      </c>
      <c r="U14" s="3">
        <v>1</v>
      </c>
      <c r="W14" t="s">
        <v>53</v>
      </c>
      <c r="X14">
        <f>H22-H20</f>
        <v>0</v>
      </c>
      <c r="AZ14" s="6"/>
      <c r="BA14" s="6"/>
      <c r="BB14" s="8" t="s">
        <v>4</v>
      </c>
      <c r="BC14" s="6"/>
      <c r="BD14" s="6"/>
      <c r="BE14" s="6"/>
      <c r="BF14" s="7" t="s">
        <v>2</v>
      </c>
      <c r="BG14" s="6"/>
      <c r="BH14" s="7" t="s">
        <v>2</v>
      </c>
      <c r="BI14" s="6"/>
      <c r="BJ14" s="6"/>
      <c r="BK14" s="6"/>
      <c r="BL14" s="8" t="s">
        <v>4</v>
      </c>
      <c r="BM14" s="6"/>
      <c r="BN14" s="6"/>
    </row>
    <row r="15" spans="2:66" x14ac:dyDescent="0.5">
      <c r="B15" s="6"/>
      <c r="C15" s="8" t="s">
        <v>4</v>
      </c>
      <c r="D15" s="6"/>
      <c r="E15" s="6"/>
      <c r="F15" s="6"/>
      <c r="G15" s="9" t="s">
        <v>3</v>
      </c>
      <c r="H15" s="6"/>
      <c r="I15" s="6"/>
      <c r="J15" s="6"/>
      <c r="K15" s="9" t="s">
        <v>3</v>
      </c>
      <c r="L15" s="6"/>
      <c r="M15" s="6"/>
      <c r="N15" s="6"/>
      <c r="O15" s="8" t="s">
        <v>4</v>
      </c>
      <c r="P15" s="6"/>
      <c r="S15" s="3" t="s">
        <v>38</v>
      </c>
      <c r="T15" s="3">
        <f t="shared" si="0"/>
        <v>2</v>
      </c>
      <c r="U15" s="3">
        <v>3</v>
      </c>
      <c r="AZ15" s="6"/>
      <c r="BA15" s="8" t="s">
        <v>4</v>
      </c>
      <c r="BB15" s="6"/>
      <c r="BC15" s="6"/>
      <c r="BD15" s="6"/>
      <c r="BE15" s="9" t="s">
        <v>3</v>
      </c>
      <c r="BF15" s="6"/>
      <c r="BG15" s="6"/>
      <c r="BH15" s="6"/>
      <c r="BI15" s="9" t="s">
        <v>3</v>
      </c>
      <c r="BJ15" s="6"/>
      <c r="BK15" s="6"/>
      <c r="BL15" s="6"/>
      <c r="BM15" s="8" t="s">
        <v>4</v>
      </c>
      <c r="BN15" s="6"/>
    </row>
    <row r="16" spans="2:66" x14ac:dyDescent="0.5">
      <c r="B16" s="5" t="s">
        <v>1</v>
      </c>
      <c r="C16" s="6"/>
      <c r="D16" s="6"/>
      <c r="E16" s="7" t="s">
        <v>2</v>
      </c>
      <c r="F16" s="6"/>
      <c r="G16" s="6"/>
      <c r="H16" s="6"/>
      <c r="I16" s="5" t="s">
        <v>1</v>
      </c>
      <c r="J16" s="6"/>
      <c r="K16" s="6"/>
      <c r="L16" s="6"/>
      <c r="M16" s="7" t="s">
        <v>2</v>
      </c>
      <c r="N16" s="6"/>
      <c r="O16" s="6"/>
      <c r="P16" s="5" t="s">
        <v>1</v>
      </c>
      <c r="S16" s="3" t="s">
        <v>39</v>
      </c>
      <c r="T16" s="3">
        <f>6-COUNTIF($B$2:$P$16,S16)</f>
        <v>6</v>
      </c>
      <c r="U16" s="3">
        <v>1</v>
      </c>
      <c r="W16" t="s">
        <v>7</v>
      </c>
      <c r="X16">
        <f>X18*8+X19*10+X20*8+X21*10</f>
        <v>36</v>
      </c>
      <c r="AZ16" s="5" t="s">
        <v>1</v>
      </c>
      <c r="BA16" s="6"/>
      <c r="BB16" s="6"/>
      <c r="BC16" s="7" t="s">
        <v>2</v>
      </c>
      <c r="BD16" s="6"/>
      <c r="BE16" s="6"/>
      <c r="BF16" s="6"/>
      <c r="BG16" s="5" t="s">
        <v>1</v>
      </c>
      <c r="BH16" s="6"/>
      <c r="BI16" s="6"/>
      <c r="BJ16" s="6"/>
      <c r="BK16" s="7" t="s">
        <v>2</v>
      </c>
      <c r="BL16" s="6"/>
      <c r="BM16" s="6"/>
      <c r="BN16" s="5" t="s">
        <v>1</v>
      </c>
    </row>
    <row r="17" spans="2:24" x14ac:dyDescent="0.5">
      <c r="S17" s="3" t="s">
        <v>40</v>
      </c>
      <c r="T17" s="3">
        <f>8-COUNTIF($B$2:$P$16,S17)</f>
        <v>8</v>
      </c>
      <c r="U17" s="3">
        <v>1</v>
      </c>
    </row>
    <row r="18" spans="2:24" x14ac:dyDescent="0.5">
      <c r="B18" s="1"/>
      <c r="C18" s="1"/>
      <c r="D18" s="1"/>
      <c r="E18" s="1"/>
      <c r="F18" s="1"/>
      <c r="G18" s="1"/>
      <c r="H18" s="10" t="s">
        <v>22</v>
      </c>
      <c r="I18" s="10"/>
      <c r="J18" s="10"/>
      <c r="K18" s="1"/>
      <c r="L18" s="1"/>
      <c r="M18" s="10" t="s">
        <v>21</v>
      </c>
      <c r="N18" s="10"/>
      <c r="O18" s="10"/>
      <c r="P18" s="1"/>
      <c r="S18" s="3" t="s">
        <v>41</v>
      </c>
      <c r="T18" s="3">
        <f t="shared" si="0"/>
        <v>2</v>
      </c>
      <c r="U18" s="3">
        <v>3</v>
      </c>
      <c r="W18" t="s">
        <v>15</v>
      </c>
      <c r="X18">
        <f>T12</f>
        <v>1</v>
      </c>
    </row>
    <row r="19" spans="2:24" x14ac:dyDescent="0.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S19" s="3" t="s">
        <v>42</v>
      </c>
      <c r="T19" s="3">
        <f>1-COUNTIF($B$2:$P$16,S19)</f>
        <v>1</v>
      </c>
      <c r="U19" s="3">
        <v>10</v>
      </c>
      <c r="W19" t="s">
        <v>16</v>
      </c>
      <c r="X19">
        <f>T19</f>
        <v>1</v>
      </c>
    </row>
    <row r="20" spans="2:24" x14ac:dyDescent="0.5">
      <c r="B20" s="10" t="s">
        <v>8</v>
      </c>
      <c r="C20" s="10"/>
      <c r="D20" s="10"/>
      <c r="E20" s="10"/>
      <c r="F20" s="10"/>
      <c r="G20" s="1"/>
      <c r="H20" s="10">
        <v>0</v>
      </c>
      <c r="I20" s="10"/>
      <c r="J20" s="10"/>
      <c r="K20" s="2"/>
      <c r="L20" s="10">
        <f>X2*X8+(X13-X16)</f>
        <v>36</v>
      </c>
      <c r="M20" s="10"/>
      <c r="N20" s="10"/>
      <c r="O20" s="10"/>
      <c r="P20" s="10"/>
      <c r="S20" s="3" t="s">
        <v>43</v>
      </c>
      <c r="T20" s="3">
        <f>6-COUNTIF($B$2:$P$16,S20)</f>
        <v>6</v>
      </c>
      <c r="U20" s="3">
        <v>1</v>
      </c>
      <c r="W20" t="s">
        <v>17</v>
      </c>
      <c r="X20">
        <f>T26</f>
        <v>1</v>
      </c>
    </row>
    <row r="21" spans="2:24" x14ac:dyDescent="0.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S21" s="3" t="s">
        <v>44</v>
      </c>
      <c r="T21" s="3">
        <f>4-COUNTIF($B$2:$P$16,S21)</f>
        <v>4</v>
      </c>
      <c r="U21" s="3">
        <v>1</v>
      </c>
      <c r="W21" t="s">
        <v>18</v>
      </c>
      <c r="X21">
        <f>T28</f>
        <v>1</v>
      </c>
    </row>
    <row r="22" spans="2:24" x14ac:dyDescent="0.5">
      <c r="B22" s="10" t="s">
        <v>9</v>
      </c>
      <c r="C22" s="10"/>
      <c r="D22" s="10"/>
      <c r="E22" s="10"/>
      <c r="F22" s="10"/>
      <c r="G22" s="1"/>
      <c r="H22" s="10">
        <v>0</v>
      </c>
      <c r="I22" s="10"/>
      <c r="J22" s="10"/>
      <c r="K22" s="2"/>
      <c r="L22" s="10">
        <f>X2*X8+(X14-X16)</f>
        <v>36</v>
      </c>
      <c r="M22" s="10"/>
      <c r="N22" s="10"/>
      <c r="O22" s="10"/>
      <c r="P22" s="10"/>
      <c r="S22" s="3" t="s">
        <v>45</v>
      </c>
      <c r="T22" s="3">
        <f>6-COUNTIF($B$2:$P$16,S22)</f>
        <v>6</v>
      </c>
      <c r="U22" s="3">
        <v>1</v>
      </c>
    </row>
    <row r="23" spans="2:24" x14ac:dyDescent="0.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S23" s="3" t="s">
        <v>46</v>
      </c>
      <c r="T23" s="3">
        <f>4-COUNTIF($B$2:$P$16,S23)</f>
        <v>4</v>
      </c>
      <c r="U23" s="3">
        <v>1</v>
      </c>
    </row>
    <row r="24" spans="2:24" x14ac:dyDescent="0.5">
      <c r="S24" s="3" t="s">
        <v>47</v>
      </c>
      <c r="T24" s="3">
        <f t="shared" si="0"/>
        <v>2</v>
      </c>
      <c r="U24" s="3">
        <v>4</v>
      </c>
    </row>
    <row r="25" spans="2:24" x14ac:dyDescent="0.5">
      <c r="S25" s="3" t="s">
        <v>48</v>
      </c>
      <c r="T25" s="3">
        <f t="shared" si="0"/>
        <v>2</v>
      </c>
      <c r="U25" s="3">
        <v>4</v>
      </c>
    </row>
    <row r="26" spans="2:24" x14ac:dyDescent="0.5">
      <c r="S26" s="3" t="s">
        <v>49</v>
      </c>
      <c r="T26" s="3">
        <f>1-COUNTIF($B$2:$P$16,S26)</f>
        <v>1</v>
      </c>
      <c r="U26" s="3">
        <v>8</v>
      </c>
    </row>
    <row r="27" spans="2:24" x14ac:dyDescent="0.5">
      <c r="S27" s="3" t="s">
        <v>50</v>
      </c>
      <c r="T27" s="3">
        <f t="shared" si="0"/>
        <v>2</v>
      </c>
      <c r="U27" s="3">
        <v>4</v>
      </c>
    </row>
    <row r="28" spans="2:24" x14ac:dyDescent="0.5">
      <c r="S28" s="3" t="s">
        <v>51</v>
      </c>
      <c r="T28" s="3">
        <f>1-COUNTIF($B$2:$P$16,S28)</f>
        <v>1</v>
      </c>
      <c r="U28" s="3">
        <v>10</v>
      </c>
    </row>
    <row r="29" spans="2:24" x14ac:dyDescent="0.5">
      <c r="S29" s="3" t="s">
        <v>19</v>
      </c>
      <c r="T29" s="3">
        <f t="shared" si="0"/>
        <v>2</v>
      </c>
      <c r="U29" s="3">
        <v>0</v>
      </c>
    </row>
  </sheetData>
  <mergeCells count="8">
    <mergeCell ref="M18:O18"/>
    <mergeCell ref="H18:J18"/>
    <mergeCell ref="B20:F20"/>
    <mergeCell ref="B22:F22"/>
    <mergeCell ref="L22:P22"/>
    <mergeCell ref="L20:P20"/>
    <mergeCell ref="H20:J20"/>
    <mergeCell ref="H22:J2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Rajnesh Kumar</dc:creator>
  <cp:lastModifiedBy>Rajnesh Kumar</cp:lastModifiedBy>
  <dcterms:created xsi:type="dcterms:W3CDTF">2025-09-06T19:08:57Z</dcterms:created>
  <dcterms:modified xsi:type="dcterms:W3CDTF">2025-09-11T14:43:32Z</dcterms:modified>
</cp:coreProperties>
</file>